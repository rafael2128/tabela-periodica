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stema Universal" sheetId="1" r:id="rId5"/>
    <sheet state="visible" name="Binário" sheetId="2" r:id="rId6"/>
    <sheet state="visible" name="Orçamento" sheetId="3" r:id="rId7"/>
    <sheet state="visible" name="Hexadecimal" sheetId="4" r:id="rId8"/>
    <sheet state="visible" name="Octal" sheetId="5" r:id="rId9"/>
  </sheets>
  <definedNames/>
  <calcPr/>
</workbook>
</file>

<file path=xl/sharedStrings.xml><?xml version="1.0" encoding="utf-8"?>
<sst xmlns="http://schemas.openxmlformats.org/spreadsheetml/2006/main" count="106" uniqueCount="87">
  <si>
    <t>Sistema Universal</t>
  </si>
  <si>
    <t>Base</t>
  </si>
  <si>
    <t>Prefixo</t>
  </si>
  <si>
    <t>Potência</t>
  </si>
  <si>
    <t>Valor</t>
  </si>
  <si>
    <t>Simbolo</t>
  </si>
  <si>
    <t>1*10^24</t>
  </si>
  <si>
    <t>iota</t>
  </si>
  <si>
    <t>Y</t>
  </si>
  <si>
    <t>1*10^21</t>
  </si>
  <si>
    <t>zeta</t>
  </si>
  <si>
    <t>Z</t>
  </si>
  <si>
    <t>1*10^18</t>
  </si>
  <si>
    <t>exa</t>
  </si>
  <si>
    <t>E</t>
  </si>
  <si>
    <t>1*10^15</t>
  </si>
  <si>
    <t>peta</t>
  </si>
  <si>
    <t>P</t>
  </si>
  <si>
    <t>1*10^12</t>
  </si>
  <si>
    <t>tera</t>
  </si>
  <si>
    <t>T</t>
  </si>
  <si>
    <t>1*10^9</t>
  </si>
  <si>
    <t>giga</t>
  </si>
  <si>
    <t>G</t>
  </si>
  <si>
    <t>1*10^6</t>
  </si>
  <si>
    <t>mega</t>
  </si>
  <si>
    <t>M</t>
  </si>
  <si>
    <t>1*10^3</t>
  </si>
  <si>
    <t>quilo</t>
  </si>
  <si>
    <t>k</t>
  </si>
  <si>
    <t>1*10^2</t>
  </si>
  <si>
    <t>hecto</t>
  </si>
  <si>
    <t>h</t>
  </si>
  <si>
    <t>1*10^1</t>
  </si>
  <si>
    <t>deca</t>
  </si>
  <si>
    <t>da</t>
  </si>
  <si>
    <t>1*10^0</t>
  </si>
  <si>
    <t>Unidade</t>
  </si>
  <si>
    <t>1*10^-1</t>
  </si>
  <si>
    <t>deci</t>
  </si>
  <si>
    <t>d</t>
  </si>
  <si>
    <t>1*10^-2</t>
  </si>
  <si>
    <t>centi</t>
  </si>
  <si>
    <t>c</t>
  </si>
  <si>
    <t>1*10^-3</t>
  </si>
  <si>
    <t>mili</t>
  </si>
  <si>
    <t>m</t>
  </si>
  <si>
    <t>1*10^-6</t>
  </si>
  <si>
    <t>micro</t>
  </si>
  <si>
    <t>µ</t>
  </si>
  <si>
    <t>1*10^-9</t>
  </si>
  <si>
    <t>nano</t>
  </si>
  <si>
    <t>n</t>
  </si>
  <si>
    <t>1*10^-12</t>
  </si>
  <si>
    <t>pico</t>
  </si>
  <si>
    <t>p</t>
  </si>
  <si>
    <t>1*10^-15</t>
  </si>
  <si>
    <t>femto</t>
  </si>
  <si>
    <t>f</t>
  </si>
  <si>
    <t>1*10^-18</t>
  </si>
  <si>
    <t>ato</t>
  </si>
  <si>
    <t>a</t>
  </si>
  <si>
    <t>1*10^-21</t>
  </si>
  <si>
    <t>zepto</t>
  </si>
  <si>
    <t>z</t>
  </si>
  <si>
    <t>1*10^-24</t>
  </si>
  <si>
    <t>iocto</t>
  </si>
  <si>
    <t>i</t>
  </si>
  <si>
    <t>Hexadecimal</t>
  </si>
  <si>
    <t>Octal</t>
  </si>
  <si>
    <t>Decimal</t>
  </si>
  <si>
    <t>Resultado</t>
  </si>
  <si>
    <t>Hexa</t>
  </si>
  <si>
    <t>Input</t>
  </si>
  <si>
    <t>Status</t>
  </si>
  <si>
    <t>Bit</t>
  </si>
  <si>
    <t>OFF</t>
  </si>
  <si>
    <t>ON</t>
  </si>
  <si>
    <t>Descrição</t>
  </si>
  <si>
    <t>Quant</t>
  </si>
  <si>
    <t>Valor Unitário</t>
  </si>
  <si>
    <t>Total</t>
  </si>
  <si>
    <t>Sua Mãe Socket Am5</t>
  </si>
  <si>
    <t>Processador Intel</t>
  </si>
  <si>
    <t>Mulher do Sapo DDr3</t>
  </si>
  <si>
    <t>Monitor 4k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</si>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</sst>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b/>
      <i/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3" fillId="2" fontId="1" numFmtId="11" xfId="0" applyAlignment="1" applyBorder="1" applyFont="1" applyNumberFormat="1">
      <alignment horizontal="center" vertical="bottom"/>
    </xf>
    <xf borderId="3" fillId="3" fontId="1" numFmtId="0" xfId="0" applyAlignment="1" applyBorder="1" applyFill="1" applyFont="1">
      <alignment vertical="bottom"/>
    </xf>
    <xf borderId="3" fillId="3" fontId="1" numFmtId="11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horizontal="center" vertical="bottom"/>
    </xf>
    <xf borderId="0" fillId="4" fontId="2" numFmtId="0" xfId="0" applyAlignment="1" applyFill="1" applyFont="1">
      <alignment horizontal="center"/>
    </xf>
    <xf borderId="0" fillId="5" fontId="2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horizontal="center"/>
    </xf>
    <xf borderId="0" fillId="7" fontId="2" numFmtId="0" xfId="0" applyAlignment="1" applyFill="1" applyFont="1">
      <alignment horizontal="center"/>
    </xf>
    <xf borderId="0" fillId="0" fontId="1" numFmtId="0" xfId="0" applyFont="1"/>
    <xf borderId="0" fillId="0" fontId="4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8" fontId="1" numFmtId="0" xfId="0" applyAlignment="1" applyFill="1" applyFont="1">
      <alignment vertical="bottom"/>
    </xf>
    <xf borderId="0" fillId="7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35.7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3" t="s">
        <v>1</v>
      </c>
      <c r="B2" s="3">
        <v>10.0</v>
      </c>
      <c r="C2" s="2"/>
      <c r="D2" s="2"/>
      <c r="E2" s="2"/>
      <c r="F2" s="2"/>
      <c r="G2" s="2"/>
      <c r="H2" s="2"/>
      <c r="I2" s="2"/>
    </row>
    <row r="3" ht="15.75" customHeight="1">
      <c r="A3" s="2"/>
      <c r="B3" s="2"/>
      <c r="C3" s="2"/>
      <c r="D3" s="2"/>
      <c r="E3" s="4"/>
      <c r="F3" s="4"/>
      <c r="G3" s="4"/>
      <c r="H3" s="4"/>
      <c r="I3" s="2"/>
    </row>
    <row r="4" ht="15.75" customHeight="1">
      <c r="A4" s="2"/>
      <c r="B4" s="2"/>
      <c r="C4" s="2"/>
      <c r="D4" s="5"/>
      <c r="E4" s="6" t="s">
        <v>2</v>
      </c>
      <c r="F4" s="6" t="s">
        <v>3</v>
      </c>
      <c r="G4" s="7" t="s">
        <v>4</v>
      </c>
      <c r="H4" s="6" t="s">
        <v>5</v>
      </c>
      <c r="I4" s="2"/>
    </row>
    <row r="5" ht="15.75" customHeight="1">
      <c r="A5" s="2"/>
      <c r="B5" s="2"/>
      <c r="C5" s="2"/>
      <c r="D5" s="5"/>
      <c r="E5" s="8" t="s">
        <v>6</v>
      </c>
      <c r="F5" s="8" t="s">
        <v>7</v>
      </c>
      <c r="G5" s="9"/>
      <c r="H5" s="8" t="s">
        <v>8</v>
      </c>
      <c r="I5" s="2"/>
    </row>
    <row r="6" ht="15.75" customHeight="1">
      <c r="A6" s="2"/>
      <c r="B6" s="2"/>
      <c r="C6" s="2"/>
      <c r="D6" s="5"/>
      <c r="E6" s="10" t="s">
        <v>9</v>
      </c>
      <c r="F6" s="10" t="s">
        <v>10</v>
      </c>
      <c r="G6" s="11"/>
      <c r="H6" s="10" t="s">
        <v>11</v>
      </c>
      <c r="I6" s="2"/>
    </row>
    <row r="7" ht="15.75" customHeight="1">
      <c r="A7" s="2"/>
      <c r="B7" s="2"/>
      <c r="C7" s="2"/>
      <c r="D7" s="5"/>
      <c r="E7" s="8" t="s">
        <v>12</v>
      </c>
      <c r="F7" s="8" t="s">
        <v>13</v>
      </c>
      <c r="G7" s="9"/>
      <c r="H7" s="8" t="s">
        <v>14</v>
      </c>
      <c r="I7" s="2"/>
    </row>
    <row r="8" ht="15.75" customHeight="1">
      <c r="A8" s="2"/>
      <c r="B8" s="2"/>
      <c r="C8" s="2"/>
      <c r="D8" s="5"/>
      <c r="E8" s="10" t="s">
        <v>15</v>
      </c>
      <c r="F8" s="10" t="s">
        <v>16</v>
      </c>
      <c r="G8" s="12"/>
      <c r="H8" s="10" t="s">
        <v>17</v>
      </c>
      <c r="I8" s="2"/>
    </row>
    <row r="9" ht="15.75" customHeight="1">
      <c r="A9" s="2"/>
      <c r="B9" s="2"/>
      <c r="C9" s="2"/>
      <c r="D9" s="5"/>
      <c r="E9" s="8" t="s">
        <v>18</v>
      </c>
      <c r="F9" s="8" t="s">
        <v>19</v>
      </c>
      <c r="G9" s="13"/>
      <c r="H9" s="8" t="s">
        <v>20</v>
      </c>
      <c r="I9" s="2"/>
    </row>
    <row r="10" ht="15.75" customHeight="1">
      <c r="A10" s="2"/>
      <c r="B10" s="2"/>
      <c r="C10" s="2"/>
      <c r="D10" s="5"/>
      <c r="E10" s="10" t="s">
        <v>21</v>
      </c>
      <c r="F10" s="10" t="s">
        <v>22</v>
      </c>
      <c r="G10" s="12"/>
      <c r="H10" s="10" t="s">
        <v>23</v>
      </c>
      <c r="I10" s="2"/>
    </row>
    <row r="11" ht="15.75" customHeight="1">
      <c r="A11" s="2"/>
      <c r="B11" s="2"/>
      <c r="C11" s="2"/>
      <c r="D11" s="5"/>
      <c r="E11" s="8" t="s">
        <v>24</v>
      </c>
      <c r="F11" s="8" t="s">
        <v>25</v>
      </c>
      <c r="G11" s="13"/>
      <c r="H11" s="8" t="s">
        <v>26</v>
      </c>
      <c r="I11" s="2"/>
    </row>
    <row r="12" ht="15.75" customHeight="1">
      <c r="A12" s="2"/>
      <c r="B12" s="2"/>
      <c r="C12" s="2"/>
      <c r="D12" s="5"/>
      <c r="E12" s="10" t="s">
        <v>27</v>
      </c>
      <c r="F12" s="10" t="s">
        <v>28</v>
      </c>
      <c r="G12" s="12"/>
      <c r="H12" s="10" t="s">
        <v>29</v>
      </c>
      <c r="I12" s="2"/>
    </row>
    <row r="13" ht="15.75" customHeight="1">
      <c r="A13" s="2"/>
      <c r="B13" s="2"/>
      <c r="C13" s="2"/>
      <c r="D13" s="5"/>
      <c r="E13" s="8" t="s">
        <v>30</v>
      </c>
      <c r="F13" s="8" t="s">
        <v>31</v>
      </c>
      <c r="G13" s="13">
        <f>1*10^2</f>
        <v>100</v>
      </c>
      <c r="H13" s="8" t="s">
        <v>32</v>
      </c>
      <c r="I13" s="2"/>
    </row>
    <row r="14" ht="15.75" customHeight="1">
      <c r="A14" s="2"/>
      <c r="B14" s="2"/>
      <c r="C14" s="2"/>
      <c r="D14" s="5"/>
      <c r="E14" s="10" t="s">
        <v>33</v>
      </c>
      <c r="F14" s="10" t="s">
        <v>34</v>
      </c>
      <c r="G14" s="12">
        <f>1*10^1</f>
        <v>10</v>
      </c>
      <c r="H14" s="10" t="s">
        <v>35</v>
      </c>
      <c r="I14" s="2"/>
    </row>
    <row r="15" ht="15.75" customHeight="1">
      <c r="A15" s="2"/>
      <c r="B15" s="2"/>
      <c r="C15" s="2"/>
      <c r="D15" s="5"/>
      <c r="E15" s="8" t="s">
        <v>36</v>
      </c>
      <c r="F15" s="8" t="s">
        <v>37</v>
      </c>
      <c r="G15" s="13">
        <f>1*10^0</f>
        <v>1</v>
      </c>
      <c r="H15" s="8"/>
      <c r="I15" s="2"/>
    </row>
    <row r="16" ht="15.75" customHeight="1">
      <c r="A16" s="2"/>
      <c r="B16" s="2"/>
      <c r="C16" s="2"/>
      <c r="D16" s="5"/>
      <c r="E16" s="10" t="s">
        <v>38</v>
      </c>
      <c r="F16" s="10" t="s">
        <v>39</v>
      </c>
      <c r="G16" s="12"/>
      <c r="H16" s="10" t="s">
        <v>40</v>
      </c>
      <c r="I16" s="2"/>
    </row>
    <row r="17" ht="15.75" customHeight="1">
      <c r="A17" s="2"/>
      <c r="B17" s="2"/>
      <c r="C17" s="2"/>
      <c r="D17" s="5"/>
      <c r="E17" s="8" t="s">
        <v>41</v>
      </c>
      <c r="F17" s="8" t="s">
        <v>42</v>
      </c>
      <c r="G17" s="13"/>
      <c r="H17" s="8" t="s">
        <v>43</v>
      </c>
      <c r="I17" s="2"/>
    </row>
    <row r="18" ht="15.75" customHeight="1">
      <c r="A18" s="2"/>
      <c r="B18" s="2"/>
      <c r="C18" s="2"/>
      <c r="D18" s="5"/>
      <c r="E18" s="10" t="s">
        <v>44</v>
      </c>
      <c r="F18" s="10" t="s">
        <v>45</v>
      </c>
      <c r="G18" s="12"/>
      <c r="H18" s="10" t="s">
        <v>46</v>
      </c>
      <c r="I18" s="2"/>
    </row>
    <row r="19" ht="15.75" customHeight="1">
      <c r="A19" s="2"/>
      <c r="B19" s="2"/>
      <c r="C19" s="2"/>
      <c r="D19" s="5"/>
      <c r="E19" s="8" t="s">
        <v>47</v>
      </c>
      <c r="F19" s="8" t="s">
        <v>48</v>
      </c>
      <c r="G19" s="13">
        <f>1*10^-6</f>
        <v>0.000001</v>
      </c>
      <c r="H19" s="8" t="s">
        <v>49</v>
      </c>
      <c r="I19" s="2"/>
    </row>
    <row r="20" ht="15.75" customHeight="1">
      <c r="A20" s="2"/>
      <c r="B20" s="2"/>
      <c r="C20" s="2"/>
      <c r="D20" s="5"/>
      <c r="E20" s="10" t="s">
        <v>50</v>
      </c>
      <c r="F20" s="10" t="s">
        <v>51</v>
      </c>
      <c r="G20" s="12">
        <f>1*10^-9</f>
        <v>0.000000001</v>
      </c>
      <c r="H20" s="10" t="s">
        <v>52</v>
      </c>
      <c r="I20" s="2"/>
    </row>
    <row r="21" ht="15.75" customHeight="1">
      <c r="A21" s="2"/>
      <c r="B21" s="2"/>
      <c r="C21" s="2"/>
      <c r="D21" s="5"/>
      <c r="E21" s="8" t="s">
        <v>53</v>
      </c>
      <c r="F21" s="8" t="s">
        <v>54</v>
      </c>
      <c r="G21" s="13"/>
      <c r="H21" s="8" t="s">
        <v>55</v>
      </c>
      <c r="I21" s="2"/>
    </row>
    <row r="22" ht="15.75" customHeight="1">
      <c r="A22" s="2"/>
      <c r="B22" s="2"/>
      <c r="C22" s="2"/>
      <c r="D22" s="5"/>
      <c r="E22" s="10" t="s">
        <v>56</v>
      </c>
      <c r="F22" s="10" t="s">
        <v>57</v>
      </c>
      <c r="G22" s="12"/>
      <c r="H22" s="10" t="s">
        <v>58</v>
      </c>
      <c r="I22" s="2"/>
    </row>
    <row r="23" ht="15.75" customHeight="1">
      <c r="A23" s="2"/>
      <c r="B23" s="2"/>
      <c r="C23" s="2"/>
      <c r="D23" s="5"/>
      <c r="E23" s="8" t="s">
        <v>59</v>
      </c>
      <c r="F23" s="8" t="s">
        <v>60</v>
      </c>
      <c r="G23" s="13"/>
      <c r="H23" s="8" t="s">
        <v>61</v>
      </c>
      <c r="I23" s="2"/>
    </row>
    <row r="24" ht="15.75" customHeight="1">
      <c r="A24" s="2"/>
      <c r="B24" s="2"/>
      <c r="C24" s="2"/>
      <c r="D24" s="5"/>
      <c r="E24" s="10" t="s">
        <v>62</v>
      </c>
      <c r="F24" s="10" t="s">
        <v>63</v>
      </c>
      <c r="G24" s="12"/>
      <c r="H24" s="10" t="s">
        <v>64</v>
      </c>
      <c r="I24" s="2"/>
    </row>
    <row r="25" ht="15.75" customHeight="1">
      <c r="A25" s="2"/>
      <c r="B25" s="2"/>
      <c r="C25" s="2"/>
      <c r="D25" s="5"/>
      <c r="E25" s="8" t="s">
        <v>65</v>
      </c>
      <c r="F25" s="8" t="s">
        <v>66</v>
      </c>
      <c r="G25" s="13"/>
      <c r="H25" s="8" t="s">
        <v>67</v>
      </c>
      <c r="I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8" width="5.63"/>
    <col customWidth="1" min="9" max="11" width="4.75"/>
    <col customWidth="1" min="12" max="22" width="4.38"/>
    <col customWidth="1" min="25" max="29" width="4.88"/>
  </cols>
  <sheetData>
    <row r="1" ht="15.75" customHeight="1"/>
    <row r="2" ht="15.75" customHeight="1">
      <c r="G2" s="14">
        <v>8.0</v>
      </c>
      <c r="H2" s="14">
        <v>4.0</v>
      </c>
      <c r="I2" s="14">
        <v>2.0</v>
      </c>
      <c r="J2" s="14">
        <v>1.0</v>
      </c>
      <c r="K2" s="15">
        <v>8.0</v>
      </c>
      <c r="L2" s="15">
        <v>4.0</v>
      </c>
      <c r="M2" s="15">
        <v>2.0</v>
      </c>
      <c r="N2" s="15">
        <v>1.0</v>
      </c>
      <c r="O2" s="14">
        <v>8.0</v>
      </c>
      <c r="P2" s="14">
        <v>4.0</v>
      </c>
      <c r="Q2" s="14">
        <v>2.0</v>
      </c>
      <c r="R2" s="14">
        <v>1.0</v>
      </c>
      <c r="S2" s="15">
        <v>8.0</v>
      </c>
      <c r="T2" s="15">
        <v>4.0</v>
      </c>
      <c r="U2" s="15">
        <v>2.0</v>
      </c>
      <c r="V2" s="15">
        <v>1.0</v>
      </c>
      <c r="W2" s="16" t="s">
        <v>68</v>
      </c>
    </row>
    <row r="3" ht="15.75" customHeight="1">
      <c r="H3" s="17">
        <v>4.0</v>
      </c>
      <c r="I3" s="17">
        <v>2.0</v>
      </c>
      <c r="J3" s="17">
        <v>1.0</v>
      </c>
      <c r="K3" s="18">
        <v>4.0</v>
      </c>
      <c r="L3" s="18">
        <v>2.0</v>
      </c>
      <c r="M3" s="18">
        <v>1.0</v>
      </c>
      <c r="N3" s="17">
        <v>4.0</v>
      </c>
      <c r="O3" s="17">
        <v>2.0</v>
      </c>
      <c r="P3" s="17">
        <v>1.0</v>
      </c>
      <c r="Q3" s="18">
        <v>4.0</v>
      </c>
      <c r="R3" s="18">
        <v>2.0</v>
      </c>
      <c r="S3" s="18">
        <v>1.0</v>
      </c>
      <c r="T3" s="17">
        <v>4.0</v>
      </c>
      <c r="U3" s="17">
        <v>2.0</v>
      </c>
      <c r="V3" s="17">
        <v>1.0</v>
      </c>
      <c r="W3" s="16" t="s">
        <v>69</v>
      </c>
    </row>
    <row r="4" ht="15.75" customHeight="1">
      <c r="G4" s="19"/>
      <c r="H4" s="19"/>
      <c r="I4" s="19"/>
      <c r="J4" s="19"/>
      <c r="K4" s="19"/>
      <c r="L4" s="19"/>
      <c r="M4" s="19"/>
      <c r="N4" s="19"/>
      <c r="X4" s="20" t="s">
        <v>70</v>
      </c>
    </row>
    <row r="5" ht="15.75" customHeight="1">
      <c r="F5" s="21">
        <f>G5*2</f>
        <v>65536</v>
      </c>
      <c r="G5" s="22">
        <f t="shared" ref="G5:N5" si="1">H5*2</f>
        <v>32768</v>
      </c>
      <c r="H5" s="22">
        <f t="shared" si="1"/>
        <v>16384</v>
      </c>
      <c r="I5" s="22">
        <f t="shared" si="1"/>
        <v>8192</v>
      </c>
      <c r="J5" s="22">
        <f t="shared" si="1"/>
        <v>4096</v>
      </c>
      <c r="K5" s="22">
        <f t="shared" si="1"/>
        <v>2048</v>
      </c>
      <c r="L5" s="22">
        <f t="shared" si="1"/>
        <v>1024</v>
      </c>
      <c r="M5" s="22">
        <f t="shared" si="1"/>
        <v>512</v>
      </c>
      <c r="N5" s="22">
        <f t="shared" si="1"/>
        <v>256</v>
      </c>
      <c r="O5" s="22">
        <v>128.0</v>
      </c>
      <c r="P5" s="22">
        <v>64.0</v>
      </c>
      <c r="Q5" s="22">
        <v>32.0</v>
      </c>
      <c r="R5" s="22">
        <v>16.0</v>
      </c>
      <c r="S5" s="22">
        <v>8.0</v>
      </c>
      <c r="T5" s="22">
        <v>4.0</v>
      </c>
      <c r="U5" s="22">
        <v>2.0</v>
      </c>
      <c r="V5" s="22">
        <v>1.0</v>
      </c>
      <c r="W5" s="19" t="s">
        <v>71</v>
      </c>
      <c r="X5" s="20">
        <f>G5*G6+H5*H6+I5*I6+J5*J6+K5*K6+L5*L6+M5*M6+N5*N6+O6*O5+P6*P5+Q6*Q5+R6*R5+S6*S5+T6*T5+U6*U5+V6*V5</f>
        <v>255</v>
      </c>
      <c r="Y5" s="19" t="s">
        <v>69</v>
      </c>
      <c r="Z5" s="19" t="s">
        <v>69</v>
      </c>
      <c r="AA5" s="19" t="s">
        <v>69</v>
      </c>
      <c r="AB5" s="19" t="s">
        <v>72</v>
      </c>
      <c r="AC5" s="19" t="s">
        <v>72</v>
      </c>
    </row>
    <row r="6" ht="15.75" customHeight="1">
      <c r="A6" s="2"/>
      <c r="B6" s="2"/>
      <c r="C6" s="2"/>
      <c r="D6" s="2"/>
      <c r="E6" s="2"/>
      <c r="F6" s="2" t="s">
        <v>73</v>
      </c>
      <c r="G6" s="23">
        <v>0.0</v>
      </c>
      <c r="H6" s="23">
        <v>0.0</v>
      </c>
      <c r="I6" s="23">
        <v>0.0</v>
      </c>
      <c r="J6" s="23">
        <v>0.0</v>
      </c>
      <c r="K6" s="23">
        <v>0.0</v>
      </c>
      <c r="L6" s="23">
        <v>0.0</v>
      </c>
      <c r="M6" s="23">
        <v>0.0</v>
      </c>
      <c r="N6" s="23">
        <v>0.0</v>
      </c>
      <c r="O6" s="23">
        <v>1.0</v>
      </c>
      <c r="P6" s="23">
        <v>1.0</v>
      </c>
      <c r="Q6" s="23">
        <v>1.0</v>
      </c>
      <c r="R6" s="23">
        <v>1.0</v>
      </c>
      <c r="S6" s="23">
        <v>1.0</v>
      </c>
      <c r="T6" s="23">
        <v>1.0</v>
      </c>
      <c r="U6" s="23">
        <v>1.0</v>
      </c>
      <c r="V6" s="23">
        <v>1.0</v>
      </c>
      <c r="Y6" s="19">
        <f>O6*O3+P6*P3</f>
        <v>3</v>
      </c>
      <c r="Z6" s="19">
        <f>Q6*Q3+R6*R3+S6*S3</f>
        <v>7</v>
      </c>
      <c r="AA6" s="19">
        <f>T6*T3+U6*U3+V6*V3</f>
        <v>7</v>
      </c>
      <c r="AB6" s="19">
        <f>O6*O2+P6*P2+Q6*Q2+R6*R2</f>
        <v>15</v>
      </c>
      <c r="AC6" s="19">
        <f>S6*S2+T6*T2+U6*U2+V6*V2</f>
        <v>15</v>
      </c>
    </row>
    <row r="7" ht="15.75" customHeight="1">
      <c r="A7" s="2"/>
      <c r="B7" s="2"/>
      <c r="C7" s="2"/>
      <c r="D7" s="2"/>
      <c r="E7" s="2"/>
      <c r="F7" s="2" t="s">
        <v>74</v>
      </c>
      <c r="G7" s="19" t="str">
        <f t="shared" ref="G7:V7" si="2">SWITCH(G6,0,"OFF","ON")</f>
        <v>OFF</v>
      </c>
      <c r="H7" s="19" t="str">
        <f t="shared" si="2"/>
        <v>OFF</v>
      </c>
      <c r="I7" s="19" t="str">
        <f t="shared" si="2"/>
        <v>OFF</v>
      </c>
      <c r="J7" s="19" t="str">
        <f t="shared" si="2"/>
        <v>OFF</v>
      </c>
      <c r="K7" s="19" t="str">
        <f t="shared" si="2"/>
        <v>OFF</v>
      </c>
      <c r="L7" s="19" t="str">
        <f t="shared" si="2"/>
        <v>OFF</v>
      </c>
      <c r="M7" s="19" t="str">
        <f t="shared" si="2"/>
        <v>OFF</v>
      </c>
      <c r="N7" s="19" t="str">
        <f t="shared" si="2"/>
        <v>OFF</v>
      </c>
      <c r="O7" s="19" t="str">
        <f t="shared" si="2"/>
        <v>ON</v>
      </c>
      <c r="P7" s="19" t="str">
        <f t="shared" si="2"/>
        <v>ON</v>
      </c>
      <c r="Q7" s="19" t="str">
        <f t="shared" si="2"/>
        <v>ON</v>
      </c>
      <c r="R7" s="19" t="str">
        <f t="shared" si="2"/>
        <v>ON</v>
      </c>
      <c r="S7" s="19" t="str">
        <f t="shared" si="2"/>
        <v>ON</v>
      </c>
      <c r="T7" s="19" t="str">
        <f t="shared" si="2"/>
        <v>ON</v>
      </c>
      <c r="U7" s="19" t="str">
        <f t="shared" si="2"/>
        <v>ON</v>
      </c>
      <c r="V7" s="19" t="str">
        <f t="shared" si="2"/>
        <v>ON</v>
      </c>
      <c r="X7" s="20" t="s">
        <v>69</v>
      </c>
      <c r="AB7" s="22" t="str">
        <f t="shared" ref="AB7:AC7" si="3">SWITCH(AB6,10,"A",11,"B",12,"C",13,"D",14,"E",15,"F",AB6)</f>
        <v>F</v>
      </c>
      <c r="AC7" s="22" t="str">
        <f t="shared" si="3"/>
        <v>F</v>
      </c>
    </row>
    <row r="8" ht="15.75" customHeight="1">
      <c r="A8" s="2"/>
      <c r="B8" s="2"/>
      <c r="C8" s="2"/>
      <c r="D8" s="2"/>
      <c r="E8" s="2"/>
      <c r="F8" s="2"/>
      <c r="X8" s="20" t="str">
        <f>CONCATENATE(Y6,Z6,AA6)</f>
        <v>377</v>
      </c>
    </row>
    <row r="9" ht="15.75" customHeight="1">
      <c r="A9" s="2" t="s">
        <v>75</v>
      </c>
      <c r="B9" s="24">
        <v>0.0</v>
      </c>
      <c r="C9" s="25" t="s">
        <v>76</v>
      </c>
      <c r="D9" s="2"/>
      <c r="E9" s="2"/>
      <c r="F9" s="2"/>
      <c r="X9" s="20" t="s">
        <v>68</v>
      </c>
    </row>
    <row r="10" ht="15.75" customHeight="1">
      <c r="A10" s="2"/>
      <c r="B10" s="24">
        <v>1.0</v>
      </c>
      <c r="C10" s="26" t="s">
        <v>77</v>
      </c>
      <c r="D10" s="2"/>
      <c r="E10" s="2"/>
      <c r="F10" s="2"/>
      <c r="X10" s="20" t="str">
        <f>CONCATENATE(AB7,AC7)</f>
        <v>FF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7:V7">
    <cfRule type="cellIs" dxfId="0" priority="1" operator="equal">
      <formula>"OFF"</formula>
    </cfRule>
  </conditionalFormatting>
  <conditionalFormatting sqref="G7:V7">
    <cfRule type="cellIs" dxfId="1" priority="2" operator="equal">
      <formula>"ON"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42.63"/>
    <col customWidth="1" min="3" max="6" width="12.63"/>
  </cols>
  <sheetData>
    <row r="1" ht="15.75" customHeight="1"/>
    <row r="2" ht="15.75" customHeight="1">
      <c r="B2" s="19" t="s">
        <v>78</v>
      </c>
      <c r="C2" s="19" t="s">
        <v>79</v>
      </c>
      <c r="D2" s="19" t="s">
        <v>80</v>
      </c>
      <c r="E2" s="19" t="s">
        <v>81</v>
      </c>
    </row>
    <row r="3" ht="15.75" customHeight="1">
      <c r="B3" s="19" t="s">
        <v>82</v>
      </c>
      <c r="C3" s="19">
        <v>1.0</v>
      </c>
      <c r="D3" s="19">
        <v>1000.0</v>
      </c>
      <c r="E3" s="19">
        <v>500.0</v>
      </c>
    </row>
    <row r="4" ht="15.75" customHeight="1">
      <c r="B4" s="19" t="s">
        <v>83</v>
      </c>
      <c r="C4" s="19">
        <v>1.0</v>
      </c>
      <c r="D4" s="19">
        <v>1000.0</v>
      </c>
      <c r="E4" s="19">
        <f t="shared" ref="E4:E5" si="1">C4*D4</f>
        <v>1000</v>
      </c>
    </row>
    <row r="5" ht="15.75" customHeight="1">
      <c r="B5" s="19" t="s">
        <v>84</v>
      </c>
      <c r="C5" s="19">
        <v>2.0</v>
      </c>
      <c r="D5" s="19">
        <v>200.0</v>
      </c>
      <c r="E5" s="19">
        <f t="shared" si="1"/>
        <v>400</v>
      </c>
    </row>
    <row r="6" ht="15.75" customHeight="1">
      <c r="B6" s="19" t="s">
        <v>85</v>
      </c>
      <c r="C6" s="19">
        <v>1.0</v>
      </c>
      <c r="D6" s="19">
        <v>1200.0</v>
      </c>
      <c r="E6" s="19">
        <v>600.0</v>
      </c>
    </row>
    <row r="7" ht="15.75" customHeight="1">
      <c r="C7" s="19">
        <v>1.0</v>
      </c>
      <c r="D7" s="19">
        <v>500.0</v>
      </c>
      <c r="E7" s="19">
        <f t="shared" ref="E7:E13" si="2">C7*D7</f>
        <v>500</v>
      </c>
    </row>
    <row r="8" ht="15.75" customHeight="1">
      <c r="E8" s="19">
        <f t="shared" si="2"/>
        <v>0</v>
      </c>
    </row>
    <row r="9" ht="15.75" customHeight="1">
      <c r="E9" s="19">
        <f t="shared" si="2"/>
        <v>0</v>
      </c>
    </row>
    <row r="10" ht="15.75" customHeight="1">
      <c r="E10" s="19">
        <f t="shared" si="2"/>
        <v>0</v>
      </c>
    </row>
    <row r="11" ht="15.75" customHeight="1">
      <c r="E11" s="19">
        <f t="shared" si="2"/>
        <v>0</v>
      </c>
    </row>
    <row r="12" ht="15.75" customHeight="1">
      <c r="E12" s="19">
        <f t="shared" si="2"/>
        <v>0</v>
      </c>
    </row>
    <row r="13" ht="15.75" customHeight="1">
      <c r="E13" s="19">
        <f t="shared" si="2"/>
        <v>0</v>
      </c>
    </row>
    <row r="14" ht="15.75" customHeight="1">
      <c r="F14" s="19" t="s">
        <v>86</v>
      </c>
      <c r="G14" s="19">
        <f>SUM(E3:E13)</f>
        <v>3000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4">
    <cfRule type="cellIs" dxfId="1" priority="1" operator="lessThanOrEqual">
      <formula>3000</formula>
    </cfRule>
  </conditionalFormatting>
  <conditionalFormatting sqref="G14">
    <cfRule type="cellIs" dxfId="0" priority="2" operator="greaterThan">
      <formula>3000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8" width="5.63"/>
    <col customWidth="1" min="9" max="11" width="4.75"/>
    <col customWidth="1" min="12" max="22" width="4.38"/>
  </cols>
  <sheetData>
    <row r="1" ht="15.75" customHeight="1"/>
    <row r="2" ht="15.75" customHeight="1"/>
    <row r="3" ht="15.75" customHeight="1"/>
    <row r="4" ht="15.75" customHeight="1"/>
    <row r="5" ht="15.75" customHeight="1">
      <c r="G5" s="22"/>
      <c r="H5" s="22"/>
      <c r="I5" s="22">
        <v>8.0</v>
      </c>
      <c r="J5" s="22">
        <v>4.0</v>
      </c>
      <c r="K5" s="22">
        <v>2.0</v>
      </c>
      <c r="L5" s="22">
        <v>1.0</v>
      </c>
      <c r="M5" s="22"/>
      <c r="N5" s="22">
        <v>8.0</v>
      </c>
      <c r="O5" s="22">
        <v>4.0</v>
      </c>
      <c r="P5" s="22">
        <v>2.0</v>
      </c>
      <c r="Q5" s="22">
        <v>1.0</v>
      </c>
      <c r="R5" s="22"/>
      <c r="S5" s="22">
        <v>8.0</v>
      </c>
      <c r="T5" s="22">
        <v>4.0</v>
      </c>
      <c r="U5" s="22">
        <v>2.0</v>
      </c>
      <c r="V5" s="22">
        <v>1.0</v>
      </c>
      <c r="W5" s="19" t="s">
        <v>71</v>
      </c>
      <c r="X5" s="20">
        <f>I6*I5+J6*J5+K6*K5+L6*L5</f>
        <v>9</v>
      </c>
      <c r="Y5" s="20">
        <f>N6*N5+O6*O5+P6*P5+Q6*Q5</f>
        <v>1</v>
      </c>
      <c r="Z5" s="20">
        <f>+S6*S5+T6*T5+U6*U5+V6*V5</f>
        <v>15</v>
      </c>
    </row>
    <row r="6" ht="15.75" customHeight="1">
      <c r="A6" s="2"/>
      <c r="B6" s="2"/>
      <c r="C6" s="2"/>
      <c r="D6" s="2"/>
      <c r="E6" s="2"/>
      <c r="F6" s="2" t="s">
        <v>73</v>
      </c>
      <c r="G6" s="27"/>
      <c r="H6" s="27"/>
      <c r="I6" s="23">
        <v>1.0</v>
      </c>
      <c r="J6" s="23">
        <v>0.0</v>
      </c>
      <c r="K6" s="23">
        <v>0.0</v>
      </c>
      <c r="L6" s="23">
        <v>1.0</v>
      </c>
      <c r="M6" s="27"/>
      <c r="N6" s="23">
        <v>0.0</v>
      </c>
      <c r="O6" s="23">
        <v>0.0</v>
      </c>
      <c r="P6" s="23">
        <v>0.0</v>
      </c>
      <c r="Q6" s="23">
        <v>1.0</v>
      </c>
      <c r="R6" s="27"/>
      <c r="S6" s="23">
        <v>1.0</v>
      </c>
      <c r="T6" s="23">
        <v>1.0</v>
      </c>
      <c r="U6" s="23">
        <v>1.0</v>
      </c>
      <c r="V6" s="23">
        <v>1.0</v>
      </c>
      <c r="W6" s="19" t="s">
        <v>68</v>
      </c>
      <c r="X6" s="22">
        <f>SWITCH(X5,10,"A",11,"B",12,"C",13,"D",14,"E",15,"F",X5)</f>
        <v>9</v>
      </c>
      <c r="Y6" s="22">
        <f t="shared" ref="Y6:Z6" si="1">SWITCH(Y5,10,"A",11,"B",12,"C",13,"D",14,"E",15,"F",Y5)</f>
        <v>1</v>
      </c>
      <c r="Z6" s="22" t="str">
        <f t="shared" si="1"/>
        <v>F</v>
      </c>
    </row>
    <row r="7" ht="15.75" customHeight="1">
      <c r="A7" s="2"/>
      <c r="B7" s="2"/>
      <c r="C7" s="2"/>
      <c r="D7" s="2"/>
      <c r="E7" s="2"/>
      <c r="F7" s="2" t="s">
        <v>74</v>
      </c>
      <c r="I7" s="19" t="str">
        <f t="shared" ref="I7:L7" si="2">SWITCH(I6,0,"OFF","ON")</f>
        <v>ON</v>
      </c>
      <c r="J7" s="19" t="str">
        <f t="shared" si="2"/>
        <v>OFF</v>
      </c>
      <c r="K7" s="19" t="str">
        <f t="shared" si="2"/>
        <v>OFF</v>
      </c>
      <c r="L7" s="19" t="str">
        <f t="shared" si="2"/>
        <v>ON</v>
      </c>
      <c r="N7" s="19" t="str">
        <f t="shared" ref="N7:Q7" si="3">SWITCH(N6,0,"OFF","ON")</f>
        <v>OFF</v>
      </c>
      <c r="O7" s="19" t="str">
        <f t="shared" si="3"/>
        <v>OFF</v>
      </c>
      <c r="P7" s="19" t="str">
        <f t="shared" si="3"/>
        <v>OFF</v>
      </c>
      <c r="Q7" s="19" t="str">
        <f t="shared" si="3"/>
        <v>ON</v>
      </c>
      <c r="S7" s="19" t="str">
        <f t="shared" ref="S7:V7" si="4">SWITCH(S6,0,"OFF","ON")</f>
        <v>ON</v>
      </c>
      <c r="T7" s="19" t="str">
        <f t="shared" si="4"/>
        <v>ON</v>
      </c>
      <c r="U7" s="19" t="str">
        <f t="shared" si="4"/>
        <v>ON</v>
      </c>
      <c r="V7" s="19" t="str">
        <f t="shared" si="4"/>
        <v>ON</v>
      </c>
      <c r="W7" s="28" t="str">
        <f>CONCATENATE(X6,Y6,Z6)</f>
        <v>91F</v>
      </c>
    </row>
    <row r="8" ht="15.75" customHeight="1">
      <c r="A8" s="2"/>
      <c r="B8" s="2"/>
      <c r="C8" s="2"/>
      <c r="D8" s="2"/>
      <c r="E8" s="2"/>
      <c r="F8" s="2"/>
    </row>
    <row r="9" ht="15.75" customHeight="1">
      <c r="A9" s="2" t="s">
        <v>75</v>
      </c>
      <c r="B9" s="24">
        <v>0.0</v>
      </c>
      <c r="C9" s="25" t="s">
        <v>76</v>
      </c>
      <c r="D9" s="2"/>
      <c r="E9" s="2"/>
      <c r="F9" s="2"/>
    </row>
    <row r="10" ht="15.75" customHeight="1">
      <c r="A10" s="2"/>
      <c r="B10" s="24">
        <v>1.0</v>
      </c>
      <c r="C10" s="26" t="s">
        <v>77</v>
      </c>
      <c r="D10" s="2"/>
      <c r="E10" s="2"/>
      <c r="F10" s="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7:V7">
    <cfRule type="cellIs" dxfId="0" priority="1" operator="equal">
      <formula>"OFF"</formula>
    </cfRule>
  </conditionalFormatting>
  <conditionalFormatting sqref="G7:V7">
    <cfRule type="cellIs" dxfId="1" priority="2" operator="equal">
      <formula>"ON"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17" width="4.38"/>
  </cols>
  <sheetData>
    <row r="1" ht="15.75" customHeight="1"/>
    <row r="2" ht="15.75" customHeight="1"/>
    <row r="3" ht="15.75" customHeight="1"/>
    <row r="4" ht="15.75" customHeight="1"/>
    <row r="5" ht="15.75" customHeight="1">
      <c r="G5" s="22">
        <v>4.0</v>
      </c>
      <c r="H5" s="22">
        <v>2.0</v>
      </c>
      <c r="I5" s="22">
        <v>1.0</v>
      </c>
      <c r="J5" s="22"/>
      <c r="K5" s="22">
        <v>4.0</v>
      </c>
      <c r="L5" s="22">
        <v>2.0</v>
      </c>
      <c r="M5" s="22">
        <v>1.0</v>
      </c>
      <c r="N5" s="22"/>
      <c r="O5" s="22">
        <v>4.0</v>
      </c>
      <c r="P5" s="22">
        <v>2.0</v>
      </c>
      <c r="Q5" s="22">
        <v>1.0</v>
      </c>
      <c r="R5" s="19" t="s">
        <v>71</v>
      </c>
      <c r="S5" s="20" t="str">
        <f>CONCATENATE(H9:P9)</f>
        <v>765</v>
      </c>
    </row>
    <row r="6" ht="15.75" customHeight="1">
      <c r="A6" s="2"/>
      <c r="B6" s="2"/>
      <c r="C6" s="2"/>
      <c r="D6" s="2"/>
      <c r="E6" s="2"/>
      <c r="F6" s="2" t="s">
        <v>73</v>
      </c>
      <c r="G6" s="23">
        <v>1.0</v>
      </c>
      <c r="H6" s="23">
        <v>1.0</v>
      </c>
      <c r="I6" s="23">
        <v>1.0</v>
      </c>
      <c r="J6" s="27"/>
      <c r="K6" s="23">
        <v>1.0</v>
      </c>
      <c r="L6" s="23">
        <v>1.0</v>
      </c>
      <c r="M6" s="23">
        <v>0.0</v>
      </c>
      <c r="N6" s="27"/>
      <c r="O6" s="23">
        <v>1.0</v>
      </c>
      <c r="P6" s="23">
        <v>0.0</v>
      </c>
      <c r="Q6" s="23">
        <v>1.0</v>
      </c>
    </row>
    <row r="7" ht="15.75" customHeight="1">
      <c r="A7" s="2"/>
      <c r="B7" s="2"/>
      <c r="C7" s="2"/>
      <c r="D7" s="2"/>
      <c r="E7" s="2"/>
      <c r="F7" s="2" t="s">
        <v>74</v>
      </c>
      <c r="G7" s="19" t="str">
        <f t="shared" ref="G7:I7" si="1">SWITCH(G6,0,"OFF","ON")</f>
        <v>ON</v>
      </c>
      <c r="H7" s="19" t="str">
        <f t="shared" si="1"/>
        <v>ON</v>
      </c>
      <c r="I7" s="19" t="str">
        <f t="shared" si="1"/>
        <v>ON</v>
      </c>
      <c r="K7" s="19" t="str">
        <f t="shared" ref="K7:M7" si="2">SWITCH(K6,0,"OFF","ON")</f>
        <v>ON</v>
      </c>
      <c r="L7" s="19" t="str">
        <f t="shared" si="2"/>
        <v>ON</v>
      </c>
      <c r="M7" s="19" t="str">
        <f t="shared" si="2"/>
        <v>OFF</v>
      </c>
      <c r="O7" s="19" t="str">
        <f t="shared" ref="O7:Q7" si="3">SWITCH(O6,0,"OFF","ON")</f>
        <v>ON</v>
      </c>
      <c r="P7" s="19" t="str">
        <f t="shared" si="3"/>
        <v>OFF</v>
      </c>
      <c r="Q7" s="19" t="str">
        <f t="shared" si="3"/>
        <v>ON</v>
      </c>
    </row>
    <row r="8" ht="15.75" customHeight="1">
      <c r="A8" s="2"/>
      <c r="B8" s="2"/>
      <c r="C8" s="2"/>
      <c r="D8" s="2"/>
      <c r="E8" s="2"/>
      <c r="F8" s="2"/>
      <c r="G8" s="27" t="str">
        <f>SWITCH(G6,0,"-","R")</f>
        <v>R</v>
      </c>
      <c r="H8" s="27" t="str">
        <f>SWITCH(H6,0,"-","W")</f>
        <v>W</v>
      </c>
      <c r="I8" s="27" t="str">
        <f>SWITCH(I6,0,"-","X")</f>
        <v>X</v>
      </c>
      <c r="J8" s="27"/>
      <c r="K8" s="27" t="str">
        <f>SWITCH(K6,0,"-","R")</f>
        <v>R</v>
      </c>
      <c r="L8" s="27" t="str">
        <f>SWITCH(L6,0,"-","W")</f>
        <v>W</v>
      </c>
      <c r="M8" s="27" t="str">
        <f>SWITCH(M6,0,"-","X")</f>
        <v>-</v>
      </c>
      <c r="N8" s="27"/>
      <c r="O8" s="27" t="str">
        <f>SWITCH(O6,0,"-","R")</f>
        <v>R</v>
      </c>
      <c r="P8" s="27" t="str">
        <f>SWITCH(P6,0,"-","W")</f>
        <v>-</v>
      </c>
      <c r="Q8" s="27" t="str">
        <f>SWITCH(Q6,0,"-","X")</f>
        <v>X</v>
      </c>
    </row>
    <row r="9" ht="15.75" customHeight="1">
      <c r="A9" s="2" t="s">
        <v>75</v>
      </c>
      <c r="B9" s="24">
        <v>0.0</v>
      </c>
      <c r="C9" s="25" t="s">
        <v>76</v>
      </c>
      <c r="D9" s="2"/>
      <c r="E9" s="2"/>
      <c r="F9" s="2"/>
      <c r="H9" s="27">
        <f>G6*G5+H6*H5+I6*I5</f>
        <v>7</v>
      </c>
      <c r="L9" s="27">
        <f>K6*K5+L6*L5+M6*M5</f>
        <v>6</v>
      </c>
      <c r="P9" s="27">
        <f>O6*O5+P6*P5+Q6*Q5</f>
        <v>5</v>
      </c>
    </row>
    <row r="10" ht="15.75" customHeight="1">
      <c r="A10" s="2"/>
      <c r="B10" s="24">
        <v>1.0</v>
      </c>
      <c r="C10" s="26" t="s">
        <v>77</v>
      </c>
      <c r="D10" s="2"/>
      <c r="E10" s="2"/>
      <c r="F10" s="2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7:Q7">
    <cfRule type="cellIs" dxfId="1" priority="1" operator="equal">
      <formula>"ON"</formula>
    </cfRule>
  </conditionalFormatting>
  <conditionalFormatting sqref="G7:Q7">
    <cfRule type="cellIs" dxfId="0" priority="2" operator="equal">
      <formula>"OFF"</formula>
    </cfRule>
  </conditionalFormatting>
  <drawing r:id="rId1"/>
</worksheet>
</file>